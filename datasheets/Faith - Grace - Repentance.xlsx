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aling doctrine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<sst xmlns="http://schemas.openxmlformats.org/spreadsheetml/2006/main" count="48" uniqueCount="27">
  <si>
    <t>Gospels</t>
  </si>
  <si>
    <t>Other works</t>
  </si>
  <si>
    <t>Pauline Epistles</t>
  </si>
  <si>
    <t>OT</t>
  </si>
  <si>
    <t>Keep AND commandments</t>
  </si>
  <si>
    <t>Repent*</t>
  </si>
  <si>
    <t>believe</t>
  </si>
  <si>
    <t>grace</t>
  </si>
  <si>
    <t>faith</t>
  </si>
  <si>
    <t>Holy Spirit</t>
  </si>
  <si>
    <t>resurrect*</t>
  </si>
  <si>
    <t>demon* OR devil* OR "unclean spirit" OR "evil spirit"</t>
  </si>
  <si>
    <t>Word Count Normalized (UP)</t>
  </si>
  <si>
    <t>demon* OR devil* OR "unclean spirits" OR "evil spirit"</t>
  </si>
  <si>
    <t>Word Count Normalized (% of Bible)</t>
  </si>
  <si>
    <t>(Grace as used in the OT is a mistranslation of FAVOR)</t>
  </si>
  <si>
    <t>Words</t>
  </si>
  <si>
    <t>Books</t>
  </si>
  <si>
    <t>Average</t>
  </si>
  <si>
    <t>New Testament</t>
  </si>
  <si>
    <t>Paul</t>
  </si>
  <si>
    <t>Luke</t>
  </si>
  <si>
    <t>Acts</t>
  </si>
  <si>
    <t>Percentages</t>
  </si>
  <si>
    <t>W/ luke and Acts</t>
  </si>
  <si>
    <t>If the NT is the wormwood?</t>
  </si>
  <si>
    <t>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</si>
</sst>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OT, Gospels, Pauline Epistles and Other works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'revealing doctrine'!$B$1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doctrine'!$B$2:$B$9</c:f>
              <c:numCache/>
            </c:numRef>
          </c:val>
        </c:ser>
        <c:ser>
          <c:idx val="1"/>
          <c:order val="1"/>
          <c:tx>
            <c:strRef>
              <c:f>'revealing doctrine'!$C$1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doctrine'!$C$2:$C$9</c:f>
              <c:numCache/>
            </c:numRef>
          </c:val>
        </c:ser>
        <c:ser>
          <c:idx val="2"/>
          <c:order val="2"/>
          <c:tx>
            <c:strRef>
              <c:f>'revealing doctrine'!$E$1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doctrine'!$E$2:$E$9</c:f>
              <c:numCache/>
            </c:numRef>
          </c:val>
        </c:ser>
        <c:ser>
          <c:idx val="3"/>
          <c:order val="3"/>
          <c:tx>
            <c:strRef>
              <c:f>'revealing doctrine'!$D$1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doctrine'!$D$2:$D$9</c:f>
              <c:numCache/>
            </c:numRef>
          </c:val>
        </c:ser>
        <c:axId val="444423656"/>
        <c:axId val="660265011"/>
      </c:barChart>
      <c:catAx>
        <c:axId val="444423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265011"/>
      </c:catAx>
      <c:valAx>
        <c:axId val="660265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423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OT, Gospels, Pauline Epistles and Other works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'revealing doctrine'!$B$11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'revealing doctrine'!$A$12:$A$17</c:f>
            </c:strRef>
          </c:cat>
          <c:val>
            <c:numRef>
              <c:f>'revealing doctrine'!$B$12:$B$17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OT, Gospels, Pauline Epistles and Other works</a:t>
            </a:r>
          </a:p>
        </c:rich>
      </c:tx>
      <c:overlay val="0"/>
    </c:title>
    <c:plotArea>
      <c:layout/>
      <c:areaChart>
        <c:grouping val="percentStacked"/>
        <c:ser>
          <c:idx val="0"/>
          <c:order val="0"/>
          <c:tx>
            <c:v>Tanak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doctrine'!$E$2:$E$9</c:f>
              <c:numCache/>
            </c:numRef>
          </c:val>
        </c:ser>
        <c:ser>
          <c:idx val="1"/>
          <c:order val="1"/>
          <c:tx>
            <c:strRef>
              <c:f>'revealing doctrine'!$B$1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doctrine'!$B$2:$B$9</c:f>
              <c:numCache/>
            </c:numRef>
          </c:val>
        </c:ser>
        <c:ser>
          <c:idx val="2"/>
          <c:order val="2"/>
          <c:tx>
            <c:v>Other NT works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doctrine'!$C$2:$C$9</c:f>
              <c:numCache/>
            </c:numRef>
          </c:val>
        </c:ser>
        <c:ser>
          <c:idx val="3"/>
          <c:order val="3"/>
          <c:tx>
            <c:strRef>
              <c:f>'revealing doctrine'!$D$1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'revealing doctrine'!$A$2:$A$9</c:f>
            </c:strRef>
          </c:cat>
          <c:val>
            <c:numRef>
              <c:f>'revealing doctrine'!$D$2:$D$9</c:f>
              <c:numCache/>
            </c:numRef>
          </c:val>
        </c:ser>
        <c:axId val="1447765839"/>
        <c:axId val="1278968021"/>
      </c:areaChart>
      <c:catAx>
        <c:axId val="144776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968021"/>
      </c:catAx>
      <c:valAx>
        <c:axId val="1278968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765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78</xdr:row>
      <xdr:rowOff>28575</xdr:rowOff>
    </xdr:from>
    <xdr:ext cx="11077575" cy="6848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52</xdr:row>
      <xdr:rowOff>47625</xdr:rowOff>
    </xdr:from>
    <xdr:ext cx="6438900" cy="3638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914400</xdr:colOff>
      <xdr:row>0</xdr:row>
      <xdr:rowOff>0</xdr:rowOff>
    </xdr:from>
    <xdr:ext cx="10477500" cy="5915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7" max="7" width="18.2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>
        <v>7.0</v>
      </c>
      <c r="C2" s="2">
        <v>11.0</v>
      </c>
      <c r="D2" s="2">
        <v>0.0</v>
      </c>
      <c r="E2" s="2">
        <v>99.0</v>
      </c>
    </row>
    <row r="3">
      <c r="A3" s="2" t="s">
        <v>5</v>
      </c>
      <c r="B3" s="2">
        <v>25.0</v>
      </c>
      <c r="C3" s="2">
        <v>4.0</v>
      </c>
      <c r="D3" s="2">
        <v>5.0</v>
      </c>
      <c r="E3" s="2">
        <v>34.0</v>
      </c>
    </row>
    <row r="4">
      <c r="A4" s="2" t="s">
        <v>6</v>
      </c>
      <c r="B4" s="2">
        <v>23.0</v>
      </c>
      <c r="C4" s="2">
        <v>13.0</v>
      </c>
      <c r="D4" s="2">
        <v>30.0</v>
      </c>
      <c r="E4" s="2">
        <v>30.0</v>
      </c>
    </row>
    <row r="5">
      <c r="A5" s="2" t="s">
        <v>7</v>
      </c>
      <c r="B5" s="2">
        <v>5.0</v>
      </c>
      <c r="C5" s="2">
        <v>22.0</v>
      </c>
      <c r="D5" s="2">
        <v>89.0</v>
      </c>
      <c r="E5" s="2">
        <v>0.0</v>
      </c>
    </row>
    <row r="6">
      <c r="A6" s="2" t="s">
        <v>8</v>
      </c>
      <c r="B6" s="2">
        <v>29.0</v>
      </c>
      <c r="C6" s="2">
        <v>57.0</v>
      </c>
      <c r="D6" s="2">
        <v>138.0</v>
      </c>
      <c r="E6" s="2">
        <v>2.0</v>
      </c>
    </row>
    <row r="7">
      <c r="A7" s="2" t="s">
        <v>9</v>
      </c>
      <c r="B7" s="1">
        <v>25.0</v>
      </c>
      <c r="C7" s="1">
        <v>8.0</v>
      </c>
      <c r="D7" s="1">
        <v>16.0</v>
      </c>
      <c r="E7" s="1">
        <v>3.0</v>
      </c>
    </row>
    <row r="8">
      <c r="A8" s="2" t="s">
        <v>10</v>
      </c>
      <c r="B8" s="1">
        <v>26.0</v>
      </c>
      <c r="C8" s="1">
        <v>4.0</v>
      </c>
      <c r="D8" s="1">
        <v>11.0</v>
      </c>
      <c r="E8" s="1">
        <v>0.0</v>
      </c>
    </row>
    <row r="9">
      <c r="A9" s="3" t="s">
        <v>11</v>
      </c>
      <c r="B9" s="1">
        <v>99.0</v>
      </c>
      <c r="C9" s="1">
        <v>18.0</v>
      </c>
      <c r="D9" s="1">
        <v>23.0</v>
      </c>
      <c r="E9" s="1">
        <v>12.0</v>
      </c>
    </row>
    <row r="10">
      <c r="A10" s="3"/>
      <c r="B10" s="1"/>
      <c r="C10" s="1"/>
      <c r="D10" s="1"/>
      <c r="E10" s="1"/>
    </row>
    <row r="11">
      <c r="A11" s="3" t="s">
        <v>12</v>
      </c>
      <c r="B11" s="1" t="s">
        <v>0</v>
      </c>
      <c r="C11" s="1" t="s">
        <v>1</v>
      </c>
      <c r="D11" s="1" t="s">
        <v>2</v>
      </c>
      <c r="E11" s="1" t="s">
        <v>3</v>
      </c>
    </row>
    <row r="12">
      <c r="A12" s="2" t="s">
        <v>5</v>
      </c>
      <c r="B12" s="4">
        <f>B3/0.15</f>
        <v>166.6666667</v>
      </c>
      <c r="C12" s="4">
        <f>C3/0.12</f>
        <v>33.33333333</v>
      </c>
      <c r="D12" s="4">
        <f>D3/0.15</f>
        <v>33.33333333</v>
      </c>
      <c r="E12" s="4">
        <f>E3/0.66</f>
        <v>51.51515152</v>
      </c>
    </row>
    <row r="13">
      <c r="A13" s="2" t="s">
        <v>4</v>
      </c>
      <c r="B13" s="4">
        <f>B2/0.15</f>
        <v>46.66666667</v>
      </c>
      <c r="C13" s="4">
        <f>C2/0.12</f>
        <v>91.66666667</v>
      </c>
      <c r="D13" s="4">
        <f>D2/0.15</f>
        <v>0</v>
      </c>
      <c r="E13" s="4">
        <f>E2/0.66</f>
        <v>150</v>
      </c>
    </row>
    <row r="14">
      <c r="A14" s="2" t="s">
        <v>8</v>
      </c>
      <c r="B14" s="4">
        <f>B6/0.15</f>
        <v>193.3333333</v>
      </c>
      <c r="C14" s="4">
        <f>C6/0.12</f>
        <v>475</v>
      </c>
      <c r="D14" s="4">
        <f>D6/0.15</f>
        <v>920</v>
      </c>
      <c r="E14" s="4">
        <f>E6/0.66</f>
        <v>3.03030303</v>
      </c>
    </row>
    <row r="15">
      <c r="A15" s="2" t="s">
        <v>6</v>
      </c>
      <c r="B15" s="4">
        <f t="shared" ref="B15:B16" si="1">B4/0.15</f>
        <v>153.3333333</v>
      </c>
      <c r="C15" s="4">
        <f t="shared" ref="C15:C16" si="2">C4/0.12</f>
        <v>108.3333333</v>
      </c>
      <c r="D15" s="4">
        <f t="shared" ref="D15:D16" si="3">D4/0.15</f>
        <v>200</v>
      </c>
      <c r="E15" s="4">
        <f t="shared" ref="E15:E16" si="4">E4/0.66</f>
        <v>45.45454545</v>
      </c>
    </row>
    <row r="16">
      <c r="A16" s="2" t="s">
        <v>7</v>
      </c>
      <c r="B16" s="4">
        <f t="shared" si="1"/>
        <v>33.33333333</v>
      </c>
      <c r="C16" s="4">
        <f t="shared" si="2"/>
        <v>183.3333333</v>
      </c>
      <c r="D16" s="4">
        <f t="shared" si="3"/>
        <v>593.3333333</v>
      </c>
      <c r="E16" s="4">
        <f t="shared" si="4"/>
        <v>0</v>
      </c>
    </row>
    <row r="17">
      <c r="A17" s="3" t="s">
        <v>13</v>
      </c>
      <c r="B17" s="4">
        <f>B9/0.15</f>
        <v>660</v>
      </c>
      <c r="C17" s="4">
        <f>C9/0.12</f>
        <v>150</v>
      </c>
      <c r="D17" s="4">
        <f>D9/0.15</f>
        <v>153.3333333</v>
      </c>
      <c r="E17" s="4">
        <f>E9/0.66</f>
        <v>18.18181818</v>
      </c>
    </row>
    <row r="18">
      <c r="A18" s="3"/>
      <c r="B18" s="4"/>
      <c r="C18" s="4"/>
      <c r="D18" s="4"/>
      <c r="E18" s="2"/>
    </row>
    <row r="19">
      <c r="A19" s="3" t="s">
        <v>14</v>
      </c>
      <c r="B19" s="1" t="s">
        <v>0</v>
      </c>
      <c r="C19" s="1" t="s">
        <v>1</v>
      </c>
      <c r="D19" s="1" t="s">
        <v>2</v>
      </c>
      <c r="E19" s="1" t="s">
        <v>3</v>
      </c>
    </row>
    <row r="20">
      <c r="A20" s="2" t="s">
        <v>5</v>
      </c>
      <c r="B20" s="2">
        <f t="shared" ref="B20:D20" si="5">B3*0.33</f>
        <v>8.25</v>
      </c>
      <c r="C20" s="2">
        <f t="shared" si="5"/>
        <v>1.32</v>
      </c>
      <c r="D20" s="2">
        <f t="shared" si="5"/>
        <v>1.65</v>
      </c>
      <c r="E20" s="2">
        <f>E3*0.77</f>
        <v>26.18</v>
      </c>
    </row>
    <row r="21">
      <c r="A21" s="2" t="s">
        <v>4</v>
      </c>
      <c r="B21" s="2">
        <f t="shared" ref="B21:D21" si="6">B2*0.33</f>
        <v>2.31</v>
      </c>
      <c r="C21" s="2">
        <f t="shared" si="6"/>
        <v>3.63</v>
      </c>
      <c r="D21" s="2">
        <f t="shared" si="6"/>
        <v>0</v>
      </c>
      <c r="E21" s="2">
        <f>E2*0.77</f>
        <v>76.23</v>
      </c>
    </row>
    <row r="22">
      <c r="A22" s="2" t="s">
        <v>8</v>
      </c>
      <c r="B22" s="2">
        <f t="shared" ref="B22:D22" si="7">B6*0.33</f>
        <v>9.57</v>
      </c>
      <c r="C22" s="2">
        <f t="shared" si="7"/>
        <v>18.81</v>
      </c>
      <c r="D22" s="2">
        <f t="shared" si="7"/>
        <v>45.54</v>
      </c>
      <c r="E22" s="2">
        <f>E6*0.77</f>
        <v>1.54</v>
      </c>
    </row>
    <row r="23">
      <c r="A23" s="2" t="s">
        <v>6</v>
      </c>
      <c r="B23" s="2">
        <f t="shared" ref="B23:D23" si="8">B4*0.33</f>
        <v>7.59</v>
      </c>
      <c r="C23" s="2">
        <f t="shared" si="8"/>
        <v>4.29</v>
      </c>
      <c r="D23" s="2">
        <f t="shared" si="8"/>
        <v>9.9</v>
      </c>
      <c r="E23" s="2">
        <f t="shared" ref="E23:E24" si="10">E4*0.77</f>
        <v>23.1</v>
      </c>
    </row>
    <row r="24">
      <c r="A24" s="2" t="s">
        <v>7</v>
      </c>
      <c r="B24" s="2">
        <f t="shared" ref="B24:D24" si="9">B5*0.33</f>
        <v>1.65</v>
      </c>
      <c r="C24" s="2">
        <f t="shared" si="9"/>
        <v>7.26</v>
      </c>
      <c r="D24" s="2">
        <f t="shared" si="9"/>
        <v>29.37</v>
      </c>
      <c r="E24" s="2">
        <f t="shared" si="10"/>
        <v>0</v>
      </c>
    </row>
    <row r="25">
      <c r="A25" s="3" t="s">
        <v>13</v>
      </c>
      <c r="B25" s="2">
        <f t="shared" ref="B25:E25" si="11">B9*0.33</f>
        <v>32.67</v>
      </c>
      <c r="C25" s="2">
        <f t="shared" si="11"/>
        <v>5.94</v>
      </c>
      <c r="D25" s="2">
        <f t="shared" si="11"/>
        <v>7.59</v>
      </c>
      <c r="E25" s="2">
        <f t="shared" si="11"/>
        <v>3.96</v>
      </c>
    </row>
    <row r="26">
      <c r="A26" s="3"/>
    </row>
    <row r="27">
      <c r="A27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B1" s="3" t="s">
        <v>16</v>
      </c>
      <c r="C1" s="3" t="s">
        <v>17</v>
      </c>
      <c r="D1" s="3" t="s">
        <v>18</v>
      </c>
    </row>
    <row r="2">
      <c r="A2" s="5" t="s">
        <v>19</v>
      </c>
      <c r="B2" s="6">
        <v>179011.0</v>
      </c>
      <c r="C2" s="3">
        <v>27.0</v>
      </c>
    </row>
    <row r="3">
      <c r="A3" s="5" t="s">
        <v>20</v>
      </c>
      <c r="B3" s="3">
        <v>50190.0</v>
      </c>
      <c r="C3" s="3">
        <v>14.0</v>
      </c>
    </row>
    <row r="4">
      <c r="A4" s="5" t="s">
        <v>21</v>
      </c>
      <c r="B4" s="3">
        <v>25640.0</v>
      </c>
    </row>
    <row r="5">
      <c r="A5" s="5" t="s">
        <v>22</v>
      </c>
      <c r="B5" s="7">
        <v>24229.0</v>
      </c>
    </row>
    <row r="6">
      <c r="A6" s="3" t="s">
        <v>23</v>
      </c>
      <c r="B6" s="8">
        <f t="shared" ref="B6:C6" si="1">B3/B2</f>
        <v>0.2803738318</v>
      </c>
      <c r="C6" s="9">
        <f t="shared" si="1"/>
        <v>0.5185185185</v>
      </c>
      <c r="D6" s="9">
        <f>AVERAGE(B6:C6)</f>
        <v>0.3994461751</v>
      </c>
    </row>
    <row r="7">
      <c r="A7" s="3" t="s">
        <v>24</v>
      </c>
      <c r="B7" s="9">
        <f>sum(B3:B5)/B2</f>
        <v>0.5589544777</v>
      </c>
    </row>
    <row r="11">
      <c r="A11" s="3" t="s">
        <v>25</v>
      </c>
    </row>
    <row r="13">
      <c r="A13" s="3" t="s">
        <v>26</v>
      </c>
      <c r="B13" s="6">
        <v>179011.0</v>
      </c>
      <c r="C13" s="3">
        <v>27.0</v>
      </c>
    </row>
    <row r="14">
      <c r="A14" s="3" t="s">
        <v>3</v>
      </c>
      <c r="B14" s="10">
        <v>602582.0</v>
      </c>
      <c r="C14" s="3">
        <v>39.0</v>
      </c>
    </row>
    <row r="15">
      <c r="A15" s="11"/>
    </row>
    <row r="16">
      <c r="A16" s="3" t="s">
        <v>18</v>
      </c>
      <c r="B16" s="9">
        <f>B13/B14</f>
        <v>0.2970732614</v>
      </c>
    </row>
  </sheetData>
  <drawing r:id="rId1"/>
</worksheet>
</file>